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Drivers" sheetId="1" state="visible" r:id="rId1"/>
    <sheet name="2 Revenue" sheetId="2" state="visible" r:id="rId2"/>
    <sheet name="3 Cost of Revenue" sheetId="3" state="visible" r:id="rId3"/>
    <sheet name="4 P&amp;L" sheetId="4" state="visible" r:id="rId4"/>
    <sheet name="5 Unit Economics" sheetId="5" state="visible" r:id="rId5"/>
    <sheet name="6 Server &amp; API Cost" sheetId="6" state="visible" r:id="rId6"/>
    <sheet name="7 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$#,##0.00;($#,##0.00)"/>
    <numFmt numFmtId="165" formatCode="$#,##0;($#,##0)"/>
    <numFmt numFmtId="166" formatCode="0.0"/>
    <numFmt numFmtId="167" formatCode="0.0%"/>
    <numFmt numFmtId="168" formatCode="0.0&quot;×&quot;"/>
    <numFmt numFmtId="169" formatCode="0.0&quot; mo&quot;"/>
    <numFmt numFmtId="170" formatCode="0.0000&quot; s&quot;"/>
    <numFmt numFmtId="171" formatCode="0.000&quot; s&quot;"/>
    <numFmt numFmtId="172" formatCode="0.0000"/>
    <numFmt numFmtId="173" formatCode="$#,##0.000000"/>
    <numFmt numFmtId="174" formatCode="$0.000000"/>
    <numFmt numFmtId="175" formatCode="0.000000"/>
  </numFmts>
  <fonts count="17">
    <font>
      <name val="Calibri"/>
      <family val="2"/>
      <color theme="1"/>
      <sz val="11"/>
      <scheme val="minor"/>
    </font>
    <font>
      <b val="1"/>
      <color rgb="0016324F"/>
      <sz val="15"/>
    </font>
    <font>
      <i val="1"/>
      <color rgb="005D6875"/>
      <sz val="9"/>
    </font>
    <font>
      <b val="1"/>
      <color rgb="00FFFFFF"/>
      <sz val="8"/>
    </font>
    <font>
      <b val="1"/>
      <color rgb="001F6F8B"/>
      <sz val="9.5"/>
    </font>
    <font>
      <color rgb="002B3440"/>
      <sz val="9"/>
    </font>
    <font>
      <i val="1"/>
      <color rgb="005D6875"/>
      <sz val="8"/>
    </font>
    <font>
      <b val="1"/>
      <color rgb="0010151F"/>
      <sz val="9"/>
    </font>
    <font>
      <i val="1"/>
      <color rgb="0016324F"/>
      <sz val="8.5"/>
    </font>
    <font>
      <color rgb="001F6F8B"/>
      <sz val="9"/>
    </font>
    <font>
      <b val="1"/>
      <color rgb="001C6B4A"/>
      <sz val="9"/>
    </font>
    <font>
      <color rgb="005D6875"/>
      <sz val="9"/>
    </font>
    <font>
      <b val="1"/>
      <color rgb="009B2C2C"/>
      <sz val="9"/>
    </font>
    <font>
      <b val="1"/>
      <color rgb="0016324F"/>
      <sz val="8"/>
    </font>
    <font>
      <b val="1"/>
      <sz val="9"/>
    </font>
    <font>
      <sz val="9"/>
    </font>
    <font>
      <color rgb="009B2C2C"/>
      <sz val="9"/>
    </font>
  </fonts>
  <fills count="5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1F5"/>
      </patternFill>
    </fill>
    <fill>
      <patternFill patternType="solid">
        <fgColor rgb="00F5F7FA"/>
      </patternFill>
    </fill>
  </fills>
  <borders count="5">
    <border>
      <left/>
      <right/>
      <top/>
      <bottom/>
      <diagonal/>
    </border>
    <border>
      <bottom style="thin">
        <color rgb="00D6DBE2"/>
      </bottom>
    </border>
    <border>
      <top style="medium">
        <color rgb="0016324F"/>
      </top>
      <bottom style="thin">
        <color rgb="00D6DBE2"/>
      </bottom>
    </border>
    <border>
      <bottom style="medium">
        <color rgb="0016324F"/>
      </bottom>
    </border>
    <border>
      <top style="medium">
        <color rgb="0016324F"/>
      </top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0" pivotButton="0" quotePrefix="0" xfId="0"/>
    <xf numFmtId="0" fontId="5" fillId="0" borderId="1" applyAlignment="1" pivotButton="0" quotePrefix="0" xfId="0">
      <alignment vertical="center"/>
    </xf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center"/>
    </xf>
    <xf numFmtId="3" fontId="7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vertical="center" wrapText="1"/>
    </xf>
    <xf numFmtId="9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0" fontId="8" fillId="4" borderId="0" applyAlignment="1" pivotButton="0" quotePrefix="0" xfId="0">
      <alignment vertical="top" wrapText="1"/>
    </xf>
    <xf numFmtId="0" fontId="7" fillId="0" borderId="2" applyAlignment="1" pivotButton="0" quotePrefix="0" xfId="0">
      <alignment vertical="center"/>
    </xf>
    <xf numFmtId="165" fontId="7" fillId="0" borderId="2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/>
    </xf>
    <xf numFmtId="9" fontId="9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165" fontId="7" fillId="0" borderId="1" applyAlignment="1" pivotButton="0" quotePrefix="0" xfId="0">
      <alignment horizontal="right" vertical="center"/>
    </xf>
    <xf numFmtId="0" fontId="10" fillId="3" borderId="1" applyAlignment="1" pivotButton="0" quotePrefix="0" xfId="0">
      <alignment vertical="center"/>
    </xf>
    <xf numFmtId="9" fontId="10" fillId="3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 indent="1"/>
    </xf>
    <xf numFmtId="9" fontId="11" fillId="0" borderId="1" applyAlignment="1" pivotButton="0" quotePrefix="0" xfId="0">
      <alignment horizontal="right" vertical="center"/>
    </xf>
    <xf numFmtId="3" fontId="11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5" fontId="12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vertical="center"/>
    </xf>
    <xf numFmtId="165" fontId="11" fillId="0" borderId="1" applyAlignment="1" pivotButton="0" quotePrefix="0" xfId="0">
      <alignment horizontal="right" vertical="center"/>
    </xf>
    <xf numFmtId="0" fontId="7" fillId="3" borderId="2" applyAlignment="1" pivotButton="0" quotePrefix="0" xfId="0">
      <alignment vertical="center"/>
    </xf>
    <xf numFmtId="165" fontId="7" fillId="3" borderId="2" applyAlignment="1" pivotButton="0" quotePrefix="0" xfId="0">
      <alignment horizontal="right" vertical="center"/>
    </xf>
    <xf numFmtId="0" fontId="10" fillId="0" borderId="1" applyAlignment="1" pivotButton="0" quotePrefix="0" xfId="0">
      <alignment vertical="center"/>
    </xf>
    <xf numFmtId="168" fontId="10" fillId="0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170" fontId="5" fillId="0" borderId="1" applyAlignment="1" pivotButton="0" quotePrefix="0" xfId="0">
      <alignment horizontal="right" vertical="center"/>
    </xf>
    <xf numFmtId="171" fontId="5" fillId="0" borderId="1" applyAlignment="1" pivotButton="0" quotePrefix="0" xfId="0">
      <alignment horizontal="right" vertical="center"/>
    </xf>
    <xf numFmtId="0" fontId="13" fillId="0" borderId="3" applyAlignment="1" pivotButton="0" quotePrefix="0" xfId="0">
      <alignment horizontal="left" wrapText="1"/>
    </xf>
    <xf numFmtId="0" fontId="13" fillId="0" borderId="3" applyAlignment="1" pivotButton="0" quotePrefix="0" xfId="0">
      <alignment horizontal="right" wrapText="1"/>
    </xf>
    <xf numFmtId="172" fontId="0" fillId="0" borderId="0" pivotButton="0" quotePrefix="0" xfId="0"/>
    <xf numFmtId="173" fontId="0" fillId="0" borderId="0" pivotButton="0" quotePrefix="0" xfId="0"/>
    <xf numFmtId="174" fontId="0" fillId="0" borderId="0" pivotButton="0" quotePrefix="0" xfId="0"/>
    <xf numFmtId="17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14" fillId="0" borderId="4" pivotButton="0" quotePrefix="0" xfId="0"/>
    <xf numFmtId="0" fontId="0" fillId="0" borderId="4" pivotButton="0" quotePrefix="0" xfId="0"/>
    <xf numFmtId="174" fontId="14" fillId="0" borderId="4" pivotButton="0" quotePrefix="0" xfId="0"/>
    <xf numFmtId="0" fontId="15" fillId="0" borderId="0" pivotButton="0" quotePrefix="0" xfId="0"/>
    <xf numFmtId="0" fontId="14" fillId="0" borderId="0" pivotButton="0" quotePrefix="0" xfId="0"/>
    <xf numFmtId="10" fontId="10" fillId="0" borderId="0" pivotButton="0" quotePrefix="0" xfId="0"/>
    <xf numFmtId="165" fontId="10" fillId="0" borderId="1" applyAlignment="1" pivotButton="0" quotePrefix="0" xfId="0">
      <alignment horizontal="right" vertical="center"/>
    </xf>
    <xf numFmtId="0" fontId="14" fillId="3" borderId="1" pivotButton="0" quotePrefix="0" xfId="0"/>
    <xf numFmtId="3" fontId="11" fillId="3" borderId="1" applyAlignment="1" pivotButton="0" quotePrefix="0" xfId="0">
      <alignment horizontal="right"/>
    </xf>
    <xf numFmtId="9" fontId="11" fillId="3" borderId="1" applyAlignment="1" pivotButton="0" quotePrefix="0" xfId="0">
      <alignment horizontal="right"/>
    </xf>
    <xf numFmtId="164" fontId="11" fillId="3" borderId="1" applyAlignment="1" pivotButton="0" quotePrefix="0" xfId="0">
      <alignment horizontal="right"/>
    </xf>
    <xf numFmtId="165" fontId="14" fillId="3" borderId="1" applyAlignment="1" pivotButton="0" quotePrefix="0" xfId="0">
      <alignment horizontal="right"/>
    </xf>
    <xf numFmtId="0" fontId="15" fillId="0" borderId="1" pivotButton="0" quotePrefix="0" xfId="0"/>
    <xf numFmtId="3" fontId="11" fillId="0" borderId="1" applyAlignment="1" pivotButton="0" quotePrefix="0" xfId="0">
      <alignment horizontal="right"/>
    </xf>
    <xf numFmtId="9" fontId="11" fillId="0" borderId="1" applyAlignment="1" pivotButton="0" quotePrefix="0" xfId="0">
      <alignment horizontal="right"/>
    </xf>
    <xf numFmtId="164" fontId="11" fillId="0" borderId="1" applyAlignment="1" pivotButton="0" quotePrefix="0" xfId="0">
      <alignment horizontal="right"/>
    </xf>
    <xf numFmtId="165" fontId="14" fillId="0" borderId="1" applyAlignment="1" pivotButton="0" quotePrefix="0" xfId="0">
      <alignment horizontal="right"/>
    </xf>
    <xf numFmtId="9" fontId="16" fillId="0" borderId="1" applyAlignment="1" pivotButton="0" quotePrefix="0" xfId="0">
      <alignment horizontal="right"/>
    </xf>
    <xf numFmtId="0" fontId="14" fillId="3" borderId="2" pivotButton="0" quotePrefix="0" xfId="0"/>
    <xf numFmtId="3" fontId="11" fillId="3" borderId="2" applyAlignment="1" pivotButton="0" quotePrefix="0" xfId="0">
      <alignment horizontal="right"/>
    </xf>
    <xf numFmtId="9" fontId="11" fillId="3" borderId="2" applyAlignment="1" pivotButton="0" quotePrefix="0" xfId="0">
      <alignment horizontal="right"/>
    </xf>
    <xf numFmtId="164" fontId="11" fillId="3" borderId="2" applyAlignment="1" pivotButton="0" quotePrefix="0" xfId="0">
      <alignment horizontal="right"/>
    </xf>
    <xf numFmtId="165" fontId="14" fillId="3" borderId="2" applyAlignment="1" pivotButton="0" quotePrefix="0" xfId="0">
      <alignment horizontal="right"/>
    </xf>
    <xf numFmtId="9" fontId="1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2" customWidth="1" min="5" max="5"/>
    <col width="52" customWidth="1" min="6" max="6"/>
  </cols>
  <sheetData>
    <row r="1">
      <c r="A1" s="1" t="inlineStr">
        <is>
          <t>Pavo Cloud — Model Drivers</t>
        </is>
      </c>
    </row>
    <row r="2">
      <c r="A2" s="2" t="inlineStr">
        <is>
          <t>Every other tab reads from here. Change a cell and the whole model moves.</t>
        </is>
      </c>
    </row>
    <row r="4" ht="26" customHeight="1">
      <c r="A4" s="3" t="inlineStr">
        <is>
          <t>Driver</t>
        </is>
      </c>
      <c r="B4" s="4" t="inlineStr">
        <is>
          <t>2026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Unit</t>
        </is>
      </c>
      <c r="F4" s="4" t="inlineStr">
        <is>
          <t>Basis / source</t>
        </is>
      </c>
    </row>
    <row r="5" ht="22" customHeight="1">
      <c r="A5" s="5" t="inlineStr">
        <is>
          <t>VOLUME</t>
        </is>
      </c>
    </row>
    <row r="6" ht="16" customHeight="1">
      <c r="A6" s="6" t="inlineStr">
        <is>
          <t>Provider groups — ending</t>
        </is>
      </c>
      <c r="B6" s="7" t="n">
        <v>110</v>
      </c>
      <c r="C6" s="7" t="n">
        <v>560</v>
      </c>
      <c r="D6" s="7" t="n">
        <v>2240</v>
      </c>
      <c r="E6" s="8" t="inlineStr">
        <is>
          <t>Sales plan. A 'group' averages 8 physicians.</t>
        </is>
      </c>
    </row>
    <row r="7" ht="16" customHeight="1">
      <c r="A7" s="9" t="inlineStr">
        <is>
          <t>Provider groups — average active</t>
        </is>
      </c>
      <c r="B7" s="10" t="n">
        <v>55</v>
      </c>
      <c r="C7" s="10" t="n">
        <v>330</v>
      </c>
      <c r="D7" s="10" t="n">
        <v>1400</v>
      </c>
      <c r="E7" s="11" t="inlineStr">
        <is>
          <t>Monthly-weighted; back-loaded ramp within each year.</t>
        </is>
      </c>
    </row>
    <row r="8" ht="16" customHeight="1">
      <c r="A8" s="6" t="inlineStr">
        <is>
          <t>Physicians per group</t>
        </is>
      </c>
      <c r="B8" s="7" t="n">
        <v>8</v>
      </c>
      <c r="C8" s="7" t="n">
        <v>8</v>
      </c>
      <c r="D8" s="7" t="n">
        <v>8</v>
      </c>
      <c r="E8" s="8" t="inlineStr">
        <is>
          <t>Mid-market target segment.</t>
        </is>
      </c>
    </row>
    <row r="9" ht="16" customHeight="1">
      <c r="A9" s="6" t="inlineStr">
        <is>
          <t>Prior auths per physician per week</t>
        </is>
      </c>
      <c r="B9" s="7" t="n">
        <v>30</v>
      </c>
      <c r="C9" s="7" t="n">
        <v>30</v>
      </c>
      <c r="D9" s="7" t="n">
        <v>30</v>
      </c>
      <c r="E9" s="8" t="inlineStr">
        <is>
          <t>Conservative. AMA 2023 survey reports 43–45.</t>
        </is>
      </c>
    </row>
    <row r="10" ht="16" customHeight="1">
      <c r="A10" s="6" t="inlineStr">
        <is>
          <t>Share of PA volume routed through Pavo</t>
        </is>
      </c>
      <c r="B10" s="12" t="n">
        <v>0.25</v>
      </c>
      <c r="C10" s="12" t="n">
        <v>0.4</v>
      </c>
      <c r="D10" s="12" t="n">
        <v>0.5</v>
      </c>
      <c r="E10" s="8" t="inlineStr">
        <is>
          <t>Rises as the encoded rule library widens.</t>
        </is>
      </c>
    </row>
    <row r="11" ht="16" customHeight="1">
      <c r="A11" s="9" t="inlineStr">
        <is>
          <t>Payer contracts — average active</t>
        </is>
      </c>
      <c r="B11" s="10" t="n">
        <v>11</v>
      </c>
      <c r="C11" s="10" t="n">
        <v>84</v>
      </c>
      <c r="D11" s="10" t="n">
        <v>160</v>
      </c>
      <c r="E11" s="11" t="inlineStr">
        <is>
          <t>~18% of the ~900 payers impacted by CMS-0057-F by 2028.</t>
        </is>
      </c>
    </row>
    <row r="13" ht="22" customHeight="1">
      <c r="A13" s="5" t="inlineStr">
        <is>
          <t>PRICE</t>
        </is>
      </c>
    </row>
    <row r="14" ht="16" customHeight="1">
      <c r="A14" s="6" t="inlineStr">
        <is>
          <t>Fee per authorization</t>
        </is>
      </c>
      <c r="B14" s="13" t="n">
        <v>3</v>
      </c>
      <c r="C14" s="13" t="n">
        <v>3</v>
      </c>
      <c r="D14" s="13" t="n">
        <v>3</v>
      </c>
      <c r="E14" s="8" t="inlineStr">
        <is>
          <t>85–92% below the $15–$40 payers spend manually.</t>
        </is>
      </c>
    </row>
    <row r="15" ht="16" customHeight="1">
      <c r="A15" s="6" t="inlineStr">
        <is>
          <t>Provider subscription</t>
        </is>
      </c>
      <c r="B15" s="14" t="n">
        <v>400</v>
      </c>
      <c r="C15" s="14" t="n">
        <v>400</v>
      </c>
      <c r="D15" s="14" t="n">
        <v>400</v>
      </c>
      <c r="E15" s="8" t="inlineStr">
        <is>
          <t>Per group per month.</t>
        </is>
      </c>
    </row>
    <row r="16" ht="16" customHeight="1">
      <c r="A16" s="6" t="inlineStr">
        <is>
          <t>Payer compliance API</t>
        </is>
      </c>
      <c r="B16" s="14" t="n">
        <v>20000</v>
      </c>
      <c r="C16" s="14" t="n">
        <v>20000</v>
      </c>
      <c r="D16" s="14" t="n">
        <v>20000</v>
      </c>
      <c r="E16" s="8" t="inlineStr">
        <is>
          <t>Per payer per year.</t>
        </is>
      </c>
    </row>
    <row r="18" ht="22" customHeight="1">
      <c r="A18" s="5" t="inlineStr">
        <is>
          <t>ACQUISITION</t>
        </is>
      </c>
    </row>
    <row r="19" ht="16" customHeight="1">
      <c r="A19" s="6" t="inlineStr">
        <is>
          <t>New provider groups acquired</t>
        </is>
      </c>
      <c r="B19" s="7" t="n">
        <v>110</v>
      </c>
      <c r="C19" s="7" t="n">
        <v>470</v>
      </c>
      <c r="D19" s="7" t="n">
        <v>1750</v>
      </c>
      <c r="E19" s="8" t="inlineStr">
        <is>
          <t>Ending count, less prior ending, plus churned replacements.</t>
        </is>
      </c>
    </row>
    <row r="20" ht="16" customHeight="1">
      <c r="A20" s="6" t="inlineStr">
        <is>
          <t>New payer contracts acquired</t>
        </is>
      </c>
      <c r="B20" s="7" t="n">
        <v>18</v>
      </c>
      <c r="C20" s="7" t="n">
        <v>122</v>
      </c>
      <c r="D20" s="7" t="n">
        <v>80</v>
      </c>
    </row>
    <row r="21" ht="16" customHeight="1">
      <c r="A21" s="9" t="inlineStr">
        <is>
          <t>Provider CAC</t>
        </is>
      </c>
      <c r="B21" s="15" t="n">
        <v>9500</v>
      </c>
      <c r="C21" s="15" t="n">
        <v>7200</v>
      </c>
      <c r="D21" s="15" t="n">
        <v>6000</v>
      </c>
      <c r="E21" s="11" t="inlineStr">
        <is>
          <t>Falls 37%: payer contracts open the provider channel.</t>
        </is>
      </c>
    </row>
    <row r="22" ht="16" customHeight="1">
      <c r="A22" s="9" t="inlineStr">
        <is>
          <t>Payer CAC</t>
        </is>
      </c>
      <c r="B22" s="15" t="n">
        <v>34000</v>
      </c>
      <c r="C22" s="15" t="n">
        <v>27000</v>
      </c>
      <c r="D22" s="15" t="n">
        <v>22000</v>
      </c>
      <c r="E22" s="11" t="inlineStr">
        <is>
          <t>Enterprise cycle, 6–12 months.</t>
        </is>
      </c>
    </row>
    <row r="23" ht="16" customHeight="1">
      <c r="A23" s="6" t="inlineStr">
        <is>
          <t>Provider annual logo churn</t>
        </is>
      </c>
      <c r="B23" s="12" t="n">
        <v>0.08</v>
      </c>
      <c r="C23" s="12" t="n">
        <v>0.06</v>
      </c>
      <c r="D23" s="12" t="n">
        <v>0.05</v>
      </c>
    </row>
    <row r="24" ht="16" customHeight="1">
      <c r="A24" s="6" t="inlineStr">
        <is>
          <t>Payer annual logo churn</t>
        </is>
      </c>
      <c r="B24" s="12" t="n">
        <v>0.02</v>
      </c>
      <c r="C24" s="12" t="n">
        <v>0.02</v>
      </c>
      <c r="D24" s="12" t="n">
        <v>0.02</v>
      </c>
      <c r="E24" s="8" t="inlineStr">
        <is>
          <t>Multi-year compliance contracts.</t>
        </is>
      </c>
    </row>
    <row r="26" ht="22" customHeight="1">
      <c r="A26" s="5" t="inlineStr">
        <is>
          <t>COST OF REVENUE</t>
        </is>
      </c>
    </row>
    <row r="27" ht="16" customHeight="1">
      <c r="A27" s="6" t="inlineStr">
        <is>
          <t>Cloud infrastructure</t>
        </is>
      </c>
      <c r="B27" s="14" t="n">
        <v>54000</v>
      </c>
      <c r="C27" s="14" t="n">
        <v>198000</v>
      </c>
      <c r="D27" s="14" t="n">
        <v>900000</v>
      </c>
      <c r="E27" s="8" t="inlineStr">
        <is>
          <t>Compute, Postgres, object storage, egress, 7-year retention.</t>
        </is>
      </c>
    </row>
    <row r="28" ht="16" customHeight="1">
      <c r="A28" s="6" t="inlineStr">
        <is>
          <t>Model API (Insure + appeals only)</t>
        </is>
      </c>
      <c r="B28" s="14" t="n">
        <v>11000</v>
      </c>
      <c r="C28" s="14" t="n">
        <v>62000</v>
      </c>
      <c r="D28" s="14" t="n">
        <v>280000</v>
      </c>
      <c r="E28" s="8" t="inlineStr">
        <is>
          <t>Zero tokens on the authorization path — see tab 6.</t>
        </is>
      </c>
    </row>
    <row r="29" ht="16" customHeight="1">
      <c r="A29" s="6" t="inlineStr">
        <is>
          <t>Clinical rule library — FTE</t>
        </is>
      </c>
      <c r="B29" s="16" t="n">
        <v>1.5</v>
      </c>
      <c r="C29" s="16" t="n">
        <v>3.5</v>
      </c>
      <c r="D29" s="16" t="n">
        <v>8</v>
      </c>
      <c r="E29" s="8" t="inlineStr">
        <is>
          <t>Informaticists encoding each payer's published criteria.</t>
        </is>
      </c>
    </row>
    <row r="30" ht="16" customHeight="1">
      <c r="A30" s="6" t="inlineStr">
        <is>
          <t>Clinical rule library — loaded cost/FTE</t>
        </is>
      </c>
      <c r="B30" s="14" t="n">
        <v>126000</v>
      </c>
      <c r="C30" s="14" t="n">
        <v>130000</v>
      </c>
      <c r="D30" s="14" t="n">
        <v>135000</v>
      </c>
    </row>
    <row r="31" ht="16" customHeight="1">
      <c r="A31" s="6" t="inlineStr">
        <is>
          <t>Implementation &amp; onboarding — FTE</t>
        </is>
      </c>
      <c r="B31" s="16" t="n">
        <v>2</v>
      </c>
      <c r="C31" s="16" t="n">
        <v>4</v>
      </c>
      <c r="D31" s="16" t="n">
        <v>12</v>
      </c>
    </row>
    <row r="32" ht="16" customHeight="1">
      <c r="A32" s="6" t="inlineStr">
        <is>
          <t>Implementation — loaded cost/FTE</t>
        </is>
      </c>
      <c r="B32" s="14" t="n">
        <v>112000</v>
      </c>
      <c r="C32" s="14" t="n">
        <v>119000</v>
      </c>
      <c r="D32" s="14" t="n">
        <v>119000</v>
      </c>
    </row>
    <row r="33" ht="16" customHeight="1">
      <c r="A33" s="6" t="inlineStr">
        <is>
          <t>Customer support — FTE</t>
        </is>
      </c>
      <c r="B33" s="16" t="n">
        <v>1</v>
      </c>
      <c r="C33" s="16" t="n">
        <v>2</v>
      </c>
      <c r="D33" s="16" t="n">
        <v>8</v>
      </c>
    </row>
    <row r="34" ht="16" customHeight="1">
      <c r="A34" s="6" t="inlineStr">
        <is>
          <t>Support — loaded cost/FTE</t>
        </is>
      </c>
      <c r="B34" s="14" t="n">
        <v>92000</v>
      </c>
      <c r="C34" s="14" t="n">
        <v>95000</v>
      </c>
      <c r="D34" s="14" t="n">
        <v>98000</v>
      </c>
    </row>
    <row r="35" ht="16" customHeight="1">
      <c r="A35" s="6" t="inlineStr">
        <is>
          <t>Security &amp; compliance</t>
        </is>
      </c>
      <c r="B35" s="14" t="n">
        <v>118000</v>
      </c>
      <c r="C35" s="14" t="n">
        <v>112000</v>
      </c>
      <c r="D35" s="14" t="n">
        <v>290000</v>
      </c>
      <c r="E35" s="8" t="inlineStr">
        <is>
          <t>SOC 2 Type II in Year 1, then surveillance + pen testing.</t>
        </is>
      </c>
    </row>
    <row r="37" ht="22" customHeight="1">
      <c r="A37" s="5" t="inlineStr">
        <is>
          <t>OPERATING EXPENSE</t>
        </is>
      </c>
    </row>
    <row r="38" ht="16" customHeight="1">
      <c r="A38" s="6" t="inlineStr">
        <is>
          <t>Engineers</t>
        </is>
      </c>
      <c r="B38" s="7" t="n">
        <v>4</v>
      </c>
      <c r="C38" s="7" t="n">
        <v>12</v>
      </c>
      <c r="D38" s="7" t="n">
        <v>26</v>
      </c>
    </row>
    <row r="39" ht="16" customHeight="1">
      <c r="A39" s="6" t="inlineStr">
        <is>
          <t>Loaded cost per engineer</t>
        </is>
      </c>
      <c r="B39" s="14" t="n">
        <v>170000</v>
      </c>
      <c r="C39" s="14" t="n">
        <v>175000</v>
      </c>
      <c r="D39" s="14" t="n">
        <v>180000</v>
      </c>
    </row>
    <row r="40" ht="16" customHeight="1">
      <c r="A40" s="6" t="inlineStr">
        <is>
          <t>General &amp; administrative</t>
        </is>
      </c>
      <c r="B40" s="14" t="n">
        <v>340000</v>
      </c>
      <c r="C40" s="14" t="n">
        <v>1150000</v>
      </c>
      <c r="D40" s="14" t="n">
        <v>3200000</v>
      </c>
      <c r="E40" s="8" t="inlineStr">
        <is>
          <t>Finance, legal, HR, facilities, insurance.</t>
        </is>
      </c>
    </row>
    <row r="42" ht="46" customHeight="1">
      <c r="A42" s="17" t="inlineStr">
        <is>
          <t>Reading this model:  every figure on tabs 2–7 is an Excel formula pointing back at this tab. The three revenue targets carried over from the Round 1 narrative ($1.0M / $8.2M / $36.1M) are not typed anywhere — they fall out of the drivers above. Tab 7 shows what happens when the four most fragile of those drivers are wrong.</t>
        </is>
      </c>
    </row>
  </sheetData>
  <mergeCells count="1">
    <mergeCell ref="A42:F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  <col width="44" customWidth="1" min="6" max="6"/>
  </cols>
  <sheetData>
    <row r="1">
      <c r="A1" s="1" t="inlineStr">
        <is>
          <t>Revenue Build</t>
        </is>
      </c>
    </row>
    <row r="2">
      <c r="A2" s="2" t="inlineStr">
        <is>
          <t>Bottom-up from the driver tab. No figure here is typed in.</t>
        </is>
      </c>
    </row>
    <row r="4" ht="26" customHeight="1">
      <c r="A4" s="3" t="inlineStr">
        <is>
          <t>Line</t>
        </is>
      </c>
      <c r="B4" s="4" t="inlineStr">
        <is>
          <t>2026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Price</t>
        </is>
      </c>
      <c r="F4" s="4" t="inlineStr">
        <is>
          <t>Note</t>
        </is>
      </c>
    </row>
    <row r="5" ht="22" customHeight="1">
      <c r="A5" s="5" t="inlineStr">
        <is>
          <t>AUTHORIZATION VOLUME</t>
        </is>
      </c>
    </row>
    <row r="6" ht="16" customHeight="1">
      <c r="A6" s="6" t="inlineStr">
        <is>
          <t>Prior auths per group per year</t>
        </is>
      </c>
      <c r="B6" s="7">
        <f>'1 Drivers'!B8*'1 Drivers'!B9*52</f>
        <v/>
      </c>
      <c r="C6" s="7">
        <f>'1 Drivers'!C8*'1 Drivers'!C9*52</f>
        <v/>
      </c>
      <c r="D6" s="7">
        <f>'1 Drivers'!D8*'1 Drivers'!D9*52</f>
        <v/>
      </c>
      <c r="E6" s="8" t="inlineStr">
        <is>
          <t>8 physicians × 30/week × 52 weeks</t>
        </is>
      </c>
    </row>
    <row r="7" ht="16" customHeight="1">
      <c r="A7" s="6" t="inlineStr">
        <is>
          <t>Authorizations routed through Pavo, per group</t>
        </is>
      </c>
      <c r="B7" s="7">
        <f>B6*'1 Drivers'!B10</f>
        <v/>
      </c>
      <c r="C7" s="7">
        <f>C6*'1 Drivers'!C10</f>
        <v/>
      </c>
      <c r="D7" s="7">
        <f>D6*'1 Drivers'!D10</f>
        <v/>
      </c>
    </row>
    <row r="8" ht="16" customHeight="1">
      <c r="A8" s="9" t="inlineStr">
        <is>
          <t>Total authorizations processed</t>
        </is>
      </c>
      <c r="B8" s="10">
        <f>B7*'1 Drivers'!B7</f>
        <v/>
      </c>
      <c r="C8" s="10">
        <f>C7*'1 Drivers'!C7</f>
        <v/>
      </c>
      <c r="D8" s="10">
        <f>D7*'1 Drivers'!D7</f>
        <v/>
      </c>
    </row>
    <row r="10" ht="22" customHeight="1">
      <c r="A10" s="5" t="inlineStr">
        <is>
          <t>REVENUE BY STREAM</t>
        </is>
      </c>
    </row>
    <row r="11" ht="16" customHeight="1">
      <c r="A11" s="6" t="inlineStr">
        <is>
          <t>Per-authorization fees</t>
        </is>
      </c>
      <c r="B11" s="14">
        <f>B8*'1 Drivers'!B14</f>
        <v/>
      </c>
      <c r="C11" s="14">
        <f>C8*'1 Drivers'!C14</f>
        <v/>
      </c>
      <c r="D11" s="14">
        <f>D8*'1 Drivers'!D14</f>
        <v/>
      </c>
      <c r="E11" s="8" t="inlineStr">
        <is>
          <t>$3.00 per authorization</t>
        </is>
      </c>
    </row>
    <row r="12" ht="16" customHeight="1">
      <c r="A12" s="6" t="inlineStr">
        <is>
          <t>Provider subscriptions</t>
        </is>
      </c>
      <c r="B12" s="14">
        <f>'1 Drivers'!B7*'1 Drivers'!B15*12</f>
        <v/>
      </c>
      <c r="C12" s="14">
        <f>'1 Drivers'!C7*'1 Drivers'!C15*12</f>
        <v/>
      </c>
      <c r="D12" s="14">
        <f>'1 Drivers'!D7*'1 Drivers'!D15*12</f>
        <v/>
      </c>
      <c r="E12" s="8" t="inlineStr">
        <is>
          <t>$400/month per group</t>
        </is>
      </c>
    </row>
    <row r="13" ht="16" customHeight="1">
      <c r="A13" s="6" t="inlineStr">
        <is>
          <t>Payer compliance API</t>
        </is>
      </c>
      <c r="B13" s="14">
        <f>'1 Drivers'!B11*'1 Drivers'!B16</f>
        <v/>
      </c>
      <c r="C13" s="14">
        <f>'1 Drivers'!C11*'1 Drivers'!C16</f>
        <v/>
      </c>
      <c r="D13" s="14">
        <f>'1 Drivers'!D11*'1 Drivers'!D16</f>
        <v/>
      </c>
      <c r="E13" s="8" t="inlineStr">
        <is>
          <t>$20,000/year per payer</t>
        </is>
      </c>
    </row>
    <row r="14" ht="16" customHeight="1">
      <c r="A14" s="18" t="inlineStr">
        <is>
          <t>Total revenue</t>
        </is>
      </c>
      <c r="B14" s="19">
        <f>SUM(B11:B13)</f>
        <v/>
      </c>
      <c r="C14" s="19">
        <f>SUM(C11:C13)</f>
        <v/>
      </c>
      <c r="D14" s="19">
        <f>SUM(D11:D13)</f>
        <v/>
      </c>
    </row>
    <row r="15" ht="16" customHeight="1">
      <c r="A15" s="20" t="inlineStr">
        <is>
          <t>Year-on-year growth</t>
        </is>
      </c>
      <c r="B15" s="21" t="inlineStr"/>
      <c r="C15" s="21">
        <f>C14/B14-1</f>
        <v/>
      </c>
      <c r="D15" s="21">
        <f>D14/C14-1</f>
        <v/>
      </c>
    </row>
    <row r="17" ht="22" customHeight="1">
      <c r="A17" s="5" t="inlineStr">
        <is>
          <t>MIX</t>
        </is>
      </c>
    </row>
    <row r="18" ht="16" customHeight="1">
      <c r="A18" s="6" t="inlineStr">
        <is>
          <t>Authorization fees, share of revenue</t>
        </is>
      </c>
      <c r="B18" s="22">
        <f>B11/B14</f>
        <v/>
      </c>
      <c r="C18" s="22">
        <f>C11/C14</f>
        <v/>
      </c>
      <c r="D18" s="22">
        <f>D11/D14</f>
        <v/>
      </c>
    </row>
    <row r="19" ht="16" customHeight="1">
      <c r="A19" s="6" t="inlineStr">
        <is>
          <t>Subscriptions, share of revenue</t>
        </is>
      </c>
      <c r="B19" s="22">
        <f>B12/B14</f>
        <v/>
      </c>
      <c r="C19" s="22">
        <f>C12/C14</f>
        <v/>
      </c>
      <c r="D19" s="22">
        <f>D12/D14</f>
        <v/>
      </c>
    </row>
    <row r="20" ht="16" customHeight="1">
      <c r="A20" s="6" t="inlineStr">
        <is>
          <t>Compliance API, share of revenue</t>
        </is>
      </c>
      <c r="B20" s="22">
        <f>B13/B14</f>
        <v/>
      </c>
      <c r="C20" s="22">
        <f>C13/C14</f>
        <v/>
      </c>
      <c r="D20" s="22">
        <f>D13/D14</f>
        <v/>
      </c>
    </row>
    <row r="22" ht="46" customHeight="1">
      <c r="A22" s="17" t="inlineStr">
        <is>
          <t>The authorization fee is 73% of 2028 revenue, which is why the model's single greatest exposure is provider group count rather than price. Tab 7 quantifies that.</t>
        </is>
      </c>
    </row>
  </sheetData>
  <mergeCells count="1">
    <mergeCell ref="A22:F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46" customWidth="1" min="5" max="5"/>
  </cols>
  <sheetData>
    <row r="1">
      <c r="A1" s="1" t="inlineStr">
        <is>
          <t>Cost of Revenue and Gross Margin</t>
        </is>
      </c>
    </row>
    <row r="2">
      <c r="A2" s="2" t="inlineStr">
        <is>
          <t>The largest line is people encoding payer criteria — not servers.</t>
        </is>
      </c>
    </row>
    <row r="4" ht="26" customHeight="1">
      <c r="A4" s="3" t="inlineStr">
        <is>
          <t>Line</t>
        </is>
      </c>
      <c r="B4" s="4" t="inlineStr">
        <is>
          <t>2026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Driver</t>
        </is>
      </c>
    </row>
    <row r="5" ht="16" customHeight="1">
      <c r="A5" s="6" t="inlineStr">
        <is>
          <t>Cloud infrastructure</t>
        </is>
      </c>
      <c r="B5" s="14">
        <f>'1 Drivers'!B27</f>
        <v/>
      </c>
      <c r="C5" s="14">
        <f>'1 Drivers'!C27</f>
        <v/>
      </c>
      <c r="D5" s="14">
        <f>'1 Drivers'!D27</f>
        <v/>
      </c>
      <c r="E5" s="8" t="inlineStr">
        <is>
          <t>Compute, Postgres, storage, egress, 7-year retention</t>
        </is>
      </c>
    </row>
    <row r="6" ht="16" customHeight="1">
      <c r="A6" s="6" t="inlineStr">
        <is>
          <t>Model API — Insure parsing, appeal drafting</t>
        </is>
      </c>
      <c r="B6" s="14">
        <f>'1 Drivers'!B28</f>
        <v/>
      </c>
      <c r="C6" s="14">
        <f>'1 Drivers'!C28</f>
        <v/>
      </c>
      <c r="D6" s="14">
        <f>'1 Drivers'!D28</f>
        <v/>
      </c>
      <c r="E6" s="8" t="inlineStr">
        <is>
          <t>Not on the authorization path</t>
        </is>
      </c>
    </row>
    <row r="7" ht="16" customHeight="1">
      <c r="A7" s="6" t="inlineStr">
        <is>
          <t>Clinical rule library</t>
        </is>
      </c>
      <c r="B7" s="14">
        <f>'1 Drivers'!B29*'1 Drivers'!B30</f>
        <v/>
      </c>
      <c r="C7" s="14">
        <f>'1 Drivers'!C29*'1 Drivers'!C30</f>
        <v/>
      </c>
      <c r="D7" s="14">
        <f>'1 Drivers'!D29*'1 Drivers'!D30</f>
        <v/>
      </c>
      <c r="E7" s="8" t="inlineStr">
        <is>
          <t>1.5 → 3.5 → 8.0 FTE informaticists</t>
        </is>
      </c>
    </row>
    <row r="8" ht="16" customHeight="1">
      <c r="A8" s="6" t="inlineStr">
        <is>
          <t>Implementation &amp; onboarding</t>
        </is>
      </c>
      <c r="B8" s="14">
        <f>'1 Drivers'!B31*'1 Drivers'!B32</f>
        <v/>
      </c>
      <c r="C8" s="14">
        <f>'1 Drivers'!C31*'1 Drivers'!C32</f>
        <v/>
      </c>
      <c r="D8" s="14">
        <f>'1 Drivers'!D31*'1 Drivers'!D32</f>
        <v/>
      </c>
      <c r="E8" s="8" t="inlineStr">
        <is>
          <t>2.0 → 4.0 → 12.0 FTE</t>
        </is>
      </c>
    </row>
    <row r="9" ht="16" customHeight="1">
      <c r="A9" s="6" t="inlineStr">
        <is>
          <t>Customer support</t>
        </is>
      </c>
      <c r="B9" s="14">
        <f>'1 Drivers'!B33*'1 Drivers'!B34</f>
        <v/>
      </c>
      <c r="C9" s="14">
        <f>'1 Drivers'!C33*'1 Drivers'!C34</f>
        <v/>
      </c>
      <c r="D9" s="14">
        <f>'1 Drivers'!D33*'1 Drivers'!D34</f>
        <v/>
      </c>
      <c r="E9" s="8" t="inlineStr">
        <is>
          <t>1.0 → 2.0 → 8.0 FTE</t>
        </is>
      </c>
    </row>
    <row r="10" ht="16" customHeight="1">
      <c r="A10" s="6" t="inlineStr">
        <is>
          <t>Security &amp; compliance</t>
        </is>
      </c>
      <c r="B10" s="14">
        <f>'1 Drivers'!B35</f>
        <v/>
      </c>
      <c r="C10" s="14">
        <f>'1 Drivers'!C35</f>
        <v/>
      </c>
      <c r="D10" s="14">
        <f>'1 Drivers'!D35</f>
        <v/>
      </c>
      <c r="E10" s="8" t="inlineStr">
        <is>
          <t>SOC 2 Type II, penetration testing, BAA management</t>
        </is>
      </c>
    </row>
    <row r="11" ht="16" customHeight="1">
      <c r="A11" s="18" t="inlineStr">
        <is>
          <t>Total cost of revenue</t>
        </is>
      </c>
      <c r="B11" s="19">
        <f>SUM(B5:B10)</f>
        <v/>
      </c>
      <c r="C11" s="19">
        <f>SUM(C5:C10)</f>
        <v/>
      </c>
      <c r="D11" s="19">
        <f>SUM(D5:D10)</f>
        <v/>
      </c>
    </row>
    <row r="13" ht="16" customHeight="1">
      <c r="A13" s="6" t="inlineStr">
        <is>
          <t>Revenue</t>
        </is>
      </c>
      <c r="B13" s="14">
        <f>'2 Revenue'!B14</f>
        <v/>
      </c>
      <c r="C13" s="14">
        <f>'2 Revenue'!C14</f>
        <v/>
      </c>
      <c r="D13" s="14">
        <f>'2 Revenue'!D14</f>
        <v/>
      </c>
    </row>
    <row r="14" ht="16" customHeight="1">
      <c r="A14" s="23" t="inlineStr">
        <is>
          <t>Gross profit</t>
        </is>
      </c>
      <c r="B14" s="24">
        <f>B13-B11</f>
        <v/>
      </c>
      <c r="C14" s="24">
        <f>C13-C11</f>
        <v/>
      </c>
      <c r="D14" s="24">
        <f>D13-D11</f>
        <v/>
      </c>
    </row>
    <row r="15" ht="16" customHeight="1">
      <c r="A15" s="25" t="inlineStr">
        <is>
          <t>Gross margin</t>
        </is>
      </c>
      <c r="B15" s="26">
        <f>B14/B13</f>
        <v/>
      </c>
      <c r="C15" s="26">
        <f>C14/C13</f>
        <v/>
      </c>
      <c r="D15" s="26">
        <f>D14/D13</f>
        <v/>
      </c>
    </row>
    <row r="17" ht="22" customHeight="1">
      <c r="A17" s="5" t="inlineStr">
        <is>
          <t>COST SHARE</t>
        </is>
      </c>
    </row>
    <row r="18" ht="16" customHeight="1">
      <c r="A18" s="6" t="inlineStr">
        <is>
          <t>People (rule library + implementation + support)</t>
        </is>
      </c>
      <c r="B18" s="22">
        <f>(B7+B8+B9)/B11</f>
        <v/>
      </c>
      <c r="C18" s="22">
        <f>(C7+C8+C9)/C11</f>
        <v/>
      </c>
      <c r="D18" s="22">
        <f>(D7+D8+D9)/D11</f>
        <v/>
      </c>
    </row>
    <row r="19" ht="16" customHeight="1">
      <c r="A19" s="6" t="inlineStr">
        <is>
          <t>Infrastructure + model API</t>
        </is>
      </c>
      <c r="B19" s="22">
        <f>(B5+B6)/B11</f>
        <v/>
      </c>
      <c r="C19" s="22">
        <f>(C5+C6)/C11</f>
        <v/>
      </c>
      <c r="D19" s="22">
        <f>(D5+D6)/D11</f>
        <v/>
      </c>
    </row>
    <row r="21" ht="46" customHeight="1">
      <c r="A21" s="17" t="inlineStr">
        <is>
          <t>Year 1 gross margin of 31% is deliberate and corrects the Round 1 narrative, which implied break-even. Early pilots carry a disproportionate implementation load and are delivered near cost. Margin reaches 87% by 2028 because authorization volume scales without adding people — the marginal cost of one authorization is about $0.00057 (tab 6).</t>
        </is>
      </c>
    </row>
  </sheetData>
  <mergeCells count="1">
    <mergeCell ref="A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7" customWidth="1" min="2" max="2"/>
    <col width="17" customWidth="1" min="3" max="3"/>
    <col width="17" customWidth="1" min="4" max="4"/>
    <col width="44" customWidth="1" min="5" max="5"/>
  </cols>
  <sheetData>
    <row r="1">
      <c r="A1" s="1" t="inlineStr">
        <is>
          <t>Three-Year Profit and Loss</t>
        </is>
      </c>
    </row>
    <row r="2">
      <c r="A2" s="2" t="inlineStr">
        <is>
          <t>EBITDA-positive during 2028. Peak cumulative burn $5.58M in Q4 2027.</t>
        </is>
      </c>
    </row>
    <row r="4" ht="26" customHeight="1">
      <c r="A4" s="3" t="inlineStr">
        <is>
          <t>Line</t>
        </is>
      </c>
      <c r="B4" s="4" t="inlineStr">
        <is>
          <t>2026</t>
        </is>
      </c>
      <c r="C4" s="4" t="inlineStr">
        <is>
          <t>2027</t>
        </is>
      </c>
      <c r="D4" s="4" t="inlineStr">
        <is>
          <t>2028</t>
        </is>
      </c>
      <c r="E4" s="4" t="inlineStr">
        <is>
          <t>Note</t>
        </is>
      </c>
    </row>
    <row r="5" ht="16" customHeight="1">
      <c r="A5" s="23" t="inlineStr">
        <is>
          <t>Revenue</t>
        </is>
      </c>
      <c r="B5" s="24">
        <f>'2 Revenue'!B14</f>
        <v/>
      </c>
      <c r="C5" s="24">
        <f>'2 Revenue'!C14</f>
        <v/>
      </c>
      <c r="D5" s="24">
        <f>'2 Revenue'!D14</f>
        <v/>
      </c>
    </row>
    <row r="6" ht="16" customHeight="1">
      <c r="A6" s="6" t="inlineStr">
        <is>
          <t>Cost of revenue</t>
        </is>
      </c>
      <c r="B6" s="14">
        <f>-'3 Cost of Revenue'!B11</f>
        <v/>
      </c>
      <c r="C6" s="14">
        <f>-'3 Cost of Revenue'!C11</f>
        <v/>
      </c>
      <c r="D6" s="14">
        <f>-'3 Cost of Revenue'!D11</f>
        <v/>
      </c>
    </row>
    <row r="7" ht="16" customHeight="1">
      <c r="A7" s="18" t="inlineStr">
        <is>
          <t>Gross profit</t>
        </is>
      </c>
      <c r="B7" s="19">
        <f>B5+B6</f>
        <v/>
      </c>
      <c r="C7" s="19">
        <f>C5+C6</f>
        <v/>
      </c>
      <c r="D7" s="19">
        <f>D5+D6</f>
        <v/>
      </c>
    </row>
    <row r="8" ht="16" customHeight="1">
      <c r="A8" s="27" t="inlineStr">
        <is>
          <t>Gross margin</t>
        </is>
      </c>
      <c r="B8" s="28">
        <f>B7/B5</f>
        <v/>
      </c>
      <c r="C8" s="28">
        <f>C7/C5</f>
        <v/>
      </c>
      <c r="D8" s="28">
        <f>D7/D5</f>
        <v/>
      </c>
    </row>
    <row r="10" ht="22" customHeight="1">
      <c r="A10" s="5" t="inlineStr">
        <is>
          <t>OPERATING EXPENSE</t>
        </is>
      </c>
    </row>
    <row r="11" ht="16" customHeight="1">
      <c r="A11" s="6" t="inlineStr">
        <is>
          <t>Research &amp; development</t>
        </is>
      </c>
      <c r="B11" s="14">
        <f>-'1 Drivers'!B38*'1 Drivers'!B39</f>
        <v/>
      </c>
      <c r="C11" s="14">
        <f>-'1 Drivers'!C38*'1 Drivers'!C39</f>
        <v/>
      </c>
      <c r="D11" s="14">
        <f>-'1 Drivers'!D38*'1 Drivers'!D39</f>
        <v/>
      </c>
      <c r="E11" s="8" t="inlineStr">
        <is>
          <t>4 → 12 → 26 engineers</t>
        </is>
      </c>
    </row>
    <row r="12" ht="16" customHeight="1">
      <c r="A12" s="6" t="inlineStr">
        <is>
          <t>Sales &amp; marketing</t>
        </is>
      </c>
      <c r="B12" s="14">
        <f>-('1 Drivers'!B19*'1 Drivers'!B21+'1 Drivers'!B20*'1 Drivers'!B22)</f>
        <v/>
      </c>
      <c r="C12" s="14">
        <f>-('1 Drivers'!C19*'1 Drivers'!C21+'1 Drivers'!C20*'1 Drivers'!C22)</f>
        <v/>
      </c>
      <c r="D12" s="14">
        <f>-('1 Drivers'!D19*'1 Drivers'!D21+'1 Drivers'!D20*'1 Drivers'!D22)</f>
        <v/>
      </c>
      <c r="E12" s="8" t="inlineStr">
        <is>
          <t>New logos × CAC, both segments</t>
        </is>
      </c>
    </row>
    <row r="13" ht="16" customHeight="1">
      <c r="A13" s="27" t="inlineStr">
        <is>
          <t>New logos acquired</t>
        </is>
      </c>
      <c r="B13" s="29">
        <f>'1 Drivers'!B19+'1 Drivers'!B20</f>
        <v/>
      </c>
      <c r="C13" s="29">
        <f>'1 Drivers'!C19+'1 Drivers'!C20</f>
        <v/>
      </c>
      <c r="D13" s="29">
        <f>'1 Drivers'!D19+'1 Drivers'!D20</f>
        <v/>
      </c>
    </row>
    <row r="14" ht="16" customHeight="1">
      <c r="A14" s="6" t="inlineStr">
        <is>
          <t>General &amp; administrative</t>
        </is>
      </c>
      <c r="B14" s="14">
        <f>-'1 Drivers'!B40</f>
        <v/>
      </c>
      <c r="C14" s="14">
        <f>-'1 Drivers'!C40</f>
        <v/>
      </c>
      <c r="D14" s="14">
        <f>-'1 Drivers'!D40</f>
        <v/>
      </c>
    </row>
    <row r="15" ht="16" customHeight="1">
      <c r="A15" s="18" t="inlineStr">
        <is>
          <t>Total operating expense</t>
        </is>
      </c>
      <c r="B15" s="19">
        <f>SUM(B11:B12)+B14</f>
        <v/>
      </c>
      <c r="C15" s="19">
        <f>SUM(C11:C12)+C14</f>
        <v/>
      </c>
      <c r="D15" s="19">
        <f>SUM(D11:D12)+D14</f>
        <v/>
      </c>
    </row>
    <row r="17" ht="16" customHeight="1">
      <c r="A17" s="9" t="inlineStr">
        <is>
          <t>EBITDA</t>
        </is>
      </c>
      <c r="B17" s="15">
        <f>B7+B15</f>
        <v/>
      </c>
      <c r="C17" s="15">
        <f>C7+C15</f>
        <v/>
      </c>
      <c r="D17" s="15">
        <f>D7+D15</f>
        <v/>
      </c>
    </row>
    <row r="18" ht="16" customHeight="1">
      <c r="A18" s="27" t="inlineStr">
        <is>
          <t>EBITDA margin</t>
        </is>
      </c>
      <c r="B18" s="28">
        <f>B17/B5</f>
        <v/>
      </c>
      <c r="C18" s="28">
        <f>C17/C5</f>
        <v/>
      </c>
      <c r="D18" s="28">
        <f>D17/D5</f>
        <v/>
      </c>
    </row>
    <row r="19" ht="16" customHeight="1">
      <c r="A19" s="30" t="inlineStr">
        <is>
          <t>Cumulative EBITDA</t>
        </is>
      </c>
      <c r="B19" s="31">
        <f>B17</f>
        <v/>
      </c>
      <c r="C19" s="31">
        <f>B19+C17</f>
        <v/>
      </c>
      <c r="D19" s="31">
        <f>C19+D17</f>
        <v/>
      </c>
    </row>
    <row r="21" ht="46" customHeight="1">
      <c r="A21" s="17" t="inlineStr">
        <is>
          <t>Peak cumulative burn is $5.58M. An $8.0M raise covers it with roughly twelve months of buffer past EBITDA breakeven. Sales &amp; marketing is the largest operating line in all three years, and 73% of it is provider acquisition — which the payer channel is what makes cheap.</t>
        </is>
      </c>
    </row>
  </sheetData>
  <mergeCells count="1">
    <mergeCell ref="A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7" customWidth="1" min="4" max="4"/>
    <col width="44" customWidth="1" min="5" max="5"/>
  </cols>
  <sheetData>
    <row r="1">
      <c r="A1" s="1" t="inlineStr">
        <is>
          <t>CAC, LTV, and Payback — at 2028 economics</t>
        </is>
      </c>
    </row>
    <row r="2">
      <c r="A2" s="2" t="inlineStr">
        <is>
          <t>LTV is stated on a 3-year horizon. The 5-year figure is shown, but we do not underwrite on it.</t>
        </is>
      </c>
    </row>
    <row r="4" ht="26" customHeight="1">
      <c r="A4" s="3" t="inlineStr">
        <is>
          <t>Metric</t>
        </is>
      </c>
      <c r="B4" s="4" t="inlineStr">
        <is>
          <t>Provider group</t>
        </is>
      </c>
      <c r="C4" s="4" t="inlineStr">
        <is>
          <t>Payer</t>
        </is>
      </c>
      <c r="D4" s="4" t="inlineStr">
        <is>
          <t>Blended</t>
        </is>
      </c>
      <c r="E4" s="4" t="inlineStr">
        <is>
          <t>Note</t>
        </is>
      </c>
    </row>
    <row r="5" ht="16" customHeight="1">
      <c r="A5" s="6" t="inlineStr">
        <is>
          <t>Annual revenue per account</t>
        </is>
      </c>
      <c r="B5" s="14">
        <f>('1 Drivers'!D14*'2 Revenue'!D7)+('1 Drivers'!D15*12)</f>
        <v/>
      </c>
      <c r="C5" s="14">
        <f>'1 Drivers'!D16</f>
        <v/>
      </c>
      <c r="D5" s="14">
        <f>'2 Revenue'!D14/('1 Drivers'!D7+'1 Drivers'!D11)</f>
        <v/>
      </c>
    </row>
    <row r="6" ht="16" customHeight="1">
      <c r="A6" s="32" t="inlineStr">
        <is>
          <t>Gross margin applied</t>
        </is>
      </c>
      <c r="B6" s="28">
        <f>'3 Cost of Revenue'!D15</f>
        <v/>
      </c>
      <c r="C6" s="28">
        <f>'3 Cost of Revenue'!D15</f>
        <v/>
      </c>
      <c r="D6" s="28">
        <f>'3 Cost of Revenue'!D15</f>
        <v/>
      </c>
    </row>
    <row r="7" ht="16" customHeight="1">
      <c r="A7" s="23" t="inlineStr">
        <is>
          <t>Gross profit per account</t>
        </is>
      </c>
      <c r="B7" s="24">
        <f>B5*B6</f>
        <v/>
      </c>
      <c r="C7" s="24">
        <f>C5*C6</f>
        <v/>
      </c>
      <c r="D7" s="24">
        <f>D5*D6</f>
        <v/>
      </c>
    </row>
    <row r="8" ht="16" customHeight="1">
      <c r="A8" s="6" t="inlineStr">
        <is>
          <t>Annual logo churn</t>
        </is>
      </c>
      <c r="B8" s="22">
        <f>'1 Drivers'!D23</f>
        <v/>
      </c>
      <c r="C8" s="22">
        <f>'1 Drivers'!D24</f>
        <v/>
      </c>
      <c r="D8" s="22">
        <f>('1 Drivers'!D7*B8+'1 Drivers'!D11*C8)/('1 Drivers'!D7+'1 Drivers'!D11)</f>
        <v/>
      </c>
    </row>
    <row r="10" ht="16" customHeight="1">
      <c r="A10" s="9" t="inlineStr">
        <is>
          <t>Customer acquisition cost</t>
        </is>
      </c>
      <c r="B10" s="15">
        <f>'1 Drivers'!D21</f>
        <v/>
      </c>
      <c r="C10" s="15">
        <f>'1 Drivers'!D22</f>
        <v/>
      </c>
      <c r="D10" s="15">
        <f>-'4 P&amp;L'!D12/'4 P&amp;L'!D13</f>
        <v/>
      </c>
    </row>
    <row r="12" ht="22" customHeight="1">
      <c r="A12" s="5" t="inlineStr">
        <is>
          <t>LIFETIME VALUE</t>
        </is>
      </c>
    </row>
    <row r="13" ht="16" customHeight="1">
      <c r="A13" s="6" t="inlineStr">
        <is>
          <t>Year 1 gross profit</t>
        </is>
      </c>
      <c r="B13" s="14">
        <f>B7</f>
        <v/>
      </c>
      <c r="C13" s="14">
        <f>C7</f>
        <v/>
      </c>
      <c r="D13" s="14">
        <f>D7</f>
        <v/>
      </c>
    </row>
    <row r="14" ht="16" customHeight="1">
      <c r="A14" s="6" t="inlineStr">
        <is>
          <t>Year 2 gross profit</t>
        </is>
      </c>
      <c r="B14" s="14">
        <f>B7*(1-B8)</f>
        <v/>
      </c>
      <c r="C14" s="14">
        <f>C7*(1-C8)</f>
        <v/>
      </c>
      <c r="D14" s="14">
        <f>D7*(1-D8)</f>
        <v/>
      </c>
    </row>
    <row r="15" ht="16" customHeight="1">
      <c r="A15" s="6" t="inlineStr">
        <is>
          <t>Year 3 gross profit</t>
        </is>
      </c>
      <c r="B15" s="14">
        <f>B7*(1-B8)^2</f>
        <v/>
      </c>
      <c r="C15" s="14">
        <f>C7*(1-C8)^2</f>
        <v/>
      </c>
      <c r="D15" s="14">
        <f>D7*(1-D8)^2</f>
        <v/>
      </c>
    </row>
    <row r="16" ht="16" customHeight="1">
      <c r="A16" s="32" t="inlineStr">
        <is>
          <t>Year 4 gross profit</t>
        </is>
      </c>
      <c r="B16" s="33">
        <f>B7*(1-B8)^3</f>
        <v/>
      </c>
      <c r="C16" s="33">
        <f>C7*(1-C8)^3</f>
        <v/>
      </c>
      <c r="D16" s="33">
        <f>D7*(1-D8)^3</f>
        <v/>
      </c>
    </row>
    <row r="17" ht="16" customHeight="1">
      <c r="A17" s="32" t="inlineStr">
        <is>
          <t>Year 5 gross profit</t>
        </is>
      </c>
      <c r="B17" s="33">
        <f>B7*(1-B8)^4</f>
        <v/>
      </c>
      <c r="C17" s="33">
        <f>C7*(1-C8)^4</f>
        <v/>
      </c>
      <c r="D17" s="33">
        <f>D7*(1-D8)^4</f>
        <v/>
      </c>
    </row>
    <row r="18" ht="16" customHeight="1">
      <c r="A18" s="34" t="inlineStr">
        <is>
          <t>LTV — 3-year</t>
        </is>
      </c>
      <c r="B18" s="35">
        <f>SUM(B13:B15)</f>
        <v/>
      </c>
      <c r="C18" s="35">
        <f>SUM(C13:C15)</f>
        <v/>
      </c>
      <c r="D18" s="35">
        <f>SUM(D13:D15)</f>
        <v/>
      </c>
    </row>
    <row r="19" ht="16" customHeight="1">
      <c r="A19" s="32" t="inlineStr">
        <is>
          <t>LTV — 5-year</t>
        </is>
      </c>
      <c r="B19" s="33">
        <f>SUM(B13:B17)</f>
        <v/>
      </c>
      <c r="C19" s="33">
        <f>SUM(C13:C17)</f>
        <v/>
      </c>
      <c r="D19" s="33">
        <f>SUM(D13:D17)</f>
        <v/>
      </c>
    </row>
    <row r="21" ht="16" customHeight="1">
      <c r="A21" s="36" t="inlineStr">
        <is>
          <t>LTV : CAC  (3-year)</t>
        </is>
      </c>
      <c r="B21" s="37">
        <f>B18/B10</f>
        <v/>
      </c>
      <c r="C21" s="37">
        <f>C18/C10</f>
        <v/>
      </c>
      <c r="D21" s="37">
        <f>D18/D10</f>
        <v/>
      </c>
    </row>
    <row r="22" ht="16" customHeight="1">
      <c r="A22" s="23" t="inlineStr">
        <is>
          <t>CAC payback</t>
        </is>
      </c>
      <c r="B22" s="38">
        <f>B10/(B7/12)</f>
        <v/>
      </c>
      <c r="C22" s="38">
        <f>C10/(C7/12)</f>
        <v/>
      </c>
      <c r="D22" s="38">
        <f>D10/(D7/12)</f>
        <v/>
      </c>
    </row>
    <row r="24" ht="46" customHeight="1">
      <c r="A24" s="17" t="inlineStr">
        <is>
          <t>Read the payer column correctly. At 2.3× LTV:CAC and a 15-month payback, payer contracts do not pay for themselves as a standalone product, and we are not pretending otherwise. The payer contract is a distribution channel: signing one payer makes Pavo reachable by every provider group already submitting authorizations to it, which is why provider CAC falls 37% across the plan. Judged alone the payer line looks weak; judged as the thing that makes the provider line work, it is the highest-leverage spend in the model.</t>
        </is>
      </c>
    </row>
  </sheetData>
  <mergeCells count="1">
    <mergeCell ref="A24:E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16" customWidth="1" min="4" max="4"/>
    <col width="50" customWidth="1" min="5" max="5"/>
  </cols>
  <sheetData>
    <row r="1">
      <c r="A1" s="1" t="inlineStr">
        <is>
          <t>Server and API Cost — measured, not assumed</t>
        </is>
      </c>
    </row>
    <row r="2">
      <c r="A2" s="2" t="inlineStr">
        <is>
          <t>Derived from timings taken against the committed code on 13 September 2026.</t>
        </is>
      </c>
    </row>
    <row r="4" ht="26" customHeight="1">
      <c r="A4" s="3" t="inlineStr">
        <is>
          <t>Component</t>
        </is>
      </c>
      <c r="B4" s="4" t="inlineStr">
        <is>
          <t>Measured</t>
        </is>
      </c>
      <c r="C4" s="4" t="inlineStr">
        <is>
          <t>Unit cost</t>
        </is>
      </c>
      <c r="D4" s="4" t="inlineStr">
        <is>
          <t>Cost per auth</t>
        </is>
      </c>
      <c r="E4" s="4" t="inlineStr">
        <is>
          <t>How it was measured</t>
        </is>
      </c>
    </row>
    <row r="5" ht="22" customHeight="1">
      <c r="A5" s="5" t="inlineStr">
        <is>
          <t>MEASURED PERFORMANCE</t>
        </is>
      </c>
    </row>
    <row r="6" ht="16" customHeight="1">
      <c r="A6" s="6" t="inlineStr">
        <is>
          <t>Authorization decision — p50 latency</t>
        </is>
      </c>
      <c r="B6" s="39" t="n">
        <v>0.0886</v>
      </c>
      <c r="C6" s="8" t="inlineStr">
        <is>
          <t>20 consecutive POST /api/auth/request calls</t>
        </is>
      </c>
    </row>
    <row r="7" ht="16" customHeight="1">
      <c r="A7" s="6" t="inlineStr">
        <is>
          <t>Authorization decision — p95 latency</t>
        </is>
      </c>
      <c r="B7" s="39" t="n">
        <v>0.1133</v>
      </c>
    </row>
    <row r="8" ht="16" customHeight="1">
      <c r="A8" s="6" t="inlineStr">
        <is>
          <t>Agent-to-agent resolution</t>
        </is>
      </c>
      <c r="B8" s="39" t="n">
        <v>0.0447</v>
      </c>
      <c r="C8" s="8" t="inlineStr">
        <is>
          <t>average_resolution_seconds from /api/system/stats</t>
        </is>
      </c>
    </row>
    <row r="9" ht="16" customHeight="1">
      <c r="A9" s="6" t="inlineStr">
        <is>
          <t>ZK proof generation</t>
        </is>
      </c>
      <c r="B9" s="40" t="n">
        <v>0.406</v>
      </c>
      <c r="C9" s="8" t="inlineStr">
        <is>
          <t>Groth16, 5 runs</t>
        </is>
      </c>
    </row>
    <row r="10" ht="16" customHeight="1">
      <c r="A10" s="6" t="inlineStr">
        <is>
          <t>ZK proof verification</t>
        </is>
      </c>
      <c r="B10" s="40" t="n">
        <v>0.409</v>
      </c>
    </row>
    <row r="11" ht="16" customHeight="1">
      <c r="A11" s="6" t="inlineStr">
        <is>
          <t>Database rows written per authorization</t>
        </is>
      </c>
      <c r="B11" s="7" t="n">
        <v>8</v>
      </c>
      <c r="C11" s="8" t="inlineStr">
        <is>
          <t>1 auth_request + 2 aria_messages + 5 audit_log</t>
        </is>
      </c>
    </row>
    <row r="12" ht="16" customHeight="1">
      <c r="A12" s="6" t="inlineStr">
        <is>
          <t>Payload written per authorization (kB)</t>
        </is>
      </c>
      <c r="B12" s="7" t="n">
        <v>6</v>
      </c>
    </row>
    <row r="14" ht="22" customHeight="1">
      <c r="A14" s="5" t="inlineStr">
        <is>
          <t>MARGINAL COST OF ONE AUTHORIZATION</t>
        </is>
      </c>
    </row>
    <row r="15">
      <c r="A15" s="41" t="inlineStr">
        <is>
          <t>Component</t>
        </is>
      </c>
      <c r="B15" s="42" t="inlineStr">
        <is>
          <t>Quantity</t>
        </is>
      </c>
      <c r="C15" s="42" t="inlineStr">
        <is>
          <t>Unit cost</t>
        </is>
      </c>
      <c r="D15" s="42" t="inlineStr">
        <is>
          <t>Cost per auth</t>
        </is>
      </c>
      <c r="E15" s="42" t="inlineStr">
        <is>
          <t>Note</t>
        </is>
      </c>
    </row>
    <row r="16">
      <c r="A16" t="inlineStr">
        <is>
          <t>Compute — vCPU seconds</t>
        </is>
      </c>
      <c r="B16" s="43">
        <f>B6</f>
        <v/>
      </c>
      <c r="C16" s="44" t="n">
        <v>1.25e-05</v>
      </c>
      <c r="D16" s="45">
        <f>B16*C16</f>
        <v/>
      </c>
      <c r="E16" t="inlineStr">
        <is>
          <t>$0.045/vCPU-hour on a managed container platform</t>
        </is>
      </c>
    </row>
    <row r="17">
      <c r="A17" t="inlineStr">
        <is>
          <t>Database write + 7-year retention</t>
        </is>
      </c>
      <c r="B17" s="46">
        <f>B12/1000000</f>
        <v/>
      </c>
      <c r="C17" s="47" t="n">
        <v>10.5</v>
      </c>
      <c r="D17" s="45">
        <f>B17*C17</f>
        <v/>
      </c>
      <c r="E17" t="inlineStr">
        <is>
          <t>6 kB held 84 months at $0.125/GB/month</t>
        </is>
      </c>
    </row>
    <row r="18">
      <c r="A18" t="inlineStr">
        <is>
          <t>ZK proof (20% of authorizations)</t>
        </is>
      </c>
      <c r="B18" s="43">
        <f>B9*0.2</f>
        <v/>
      </c>
      <c r="C18" s="44" t="n">
        <v>1.25e-05</v>
      </c>
      <c r="D18" s="45">
        <f>B18*C18</f>
        <v/>
      </c>
      <c r="E18" t="inlineStr">
        <is>
          <t>Short-lived Node process; only when the payer requires it</t>
        </is>
      </c>
    </row>
    <row r="19">
      <c r="A19" t="inlineStr">
        <is>
          <t>Model API tokens</t>
        </is>
      </c>
      <c r="B19" s="48" t="n">
        <v>0</v>
      </c>
      <c r="C19" s="44" t="n">
        <v>0</v>
      </c>
      <c r="D19" s="45" t="n">
        <v>0</v>
      </c>
      <c r="E19" t="inlineStr">
        <is>
          <t>No inference on the authorization path — by design</t>
        </is>
      </c>
    </row>
    <row r="20">
      <c r="A20" t="inlineStr">
        <is>
          <t>Load balancing, logging, observability overhead</t>
        </is>
      </c>
      <c r="B20" s="48" t="n">
        <v>1</v>
      </c>
      <c r="C20" s="44" t="n">
        <v>0.0005</v>
      </c>
      <c r="D20" s="45">
        <f>B20*C20</f>
        <v/>
      </c>
      <c r="E20" t="inlineStr">
        <is>
          <t>Allocated; dominates the measured components</t>
        </is>
      </c>
    </row>
    <row r="21">
      <c r="A21" s="49" t="inlineStr">
        <is>
          <t>Marginal cost per authorization</t>
        </is>
      </c>
      <c r="B21" s="50" t="n"/>
      <c r="C21" s="50" t="n"/>
      <c r="D21" s="51">
        <f>SUM(D16:D20)</f>
        <v/>
      </c>
      <c r="E21" s="50" t="n"/>
    </row>
    <row r="22">
      <c r="A22" s="52" t="inlineStr">
        <is>
          <t>Revenue per authorization</t>
        </is>
      </c>
      <c r="D22" s="47">
        <f>'1 Drivers'!D14</f>
        <v/>
      </c>
    </row>
    <row r="23">
      <c r="A23" s="53" t="inlineStr">
        <is>
          <t>Marginal gross margin per authorization</t>
        </is>
      </c>
      <c r="D23" s="54">
        <f>1-D21/D22</f>
        <v/>
      </c>
    </row>
    <row r="25" ht="22" customHeight="1">
      <c r="A25" s="5" t="inlineStr">
        <is>
          <t>ANNUAL INFRASTRUCTURE BUDGET vs. MARGINAL COST</t>
        </is>
      </c>
    </row>
    <row r="26" ht="16" customHeight="1">
      <c r="A26" s="6" t="inlineStr">
        <is>
          <t>Authorizations processed</t>
        </is>
      </c>
      <c r="B26" s="7">
        <f>'2 Revenue'!B8</f>
        <v/>
      </c>
      <c r="C26" s="7">
        <f>'2 Revenue'!C8</f>
        <v/>
      </c>
      <c r="D26" s="7">
        <f>'2 Revenue'!D8</f>
        <v/>
      </c>
    </row>
    <row r="27" ht="16" customHeight="1">
      <c r="A27" s="6" t="inlineStr">
        <is>
          <t>Marginal cost at scale</t>
        </is>
      </c>
      <c r="B27" s="14">
        <f>B26*$D$21</f>
        <v/>
      </c>
      <c r="C27" s="14">
        <f>C26*$D$21</f>
        <v/>
      </c>
      <c r="D27" s="14">
        <f>D26*$D$21</f>
        <v/>
      </c>
    </row>
    <row r="28" ht="16" customHeight="1">
      <c r="A28" s="6" t="inlineStr">
        <is>
          <t>Budgeted cloud infrastructure</t>
        </is>
      </c>
      <c r="B28" s="14">
        <f>'1 Drivers'!B27</f>
        <v/>
      </c>
      <c r="C28" s="14">
        <f>'1 Drivers'!C27</f>
        <v/>
      </c>
      <c r="D28" s="14">
        <f>'1 Drivers'!D27</f>
        <v/>
      </c>
    </row>
    <row r="29" ht="16" customHeight="1">
      <c r="A29" s="36" t="inlineStr">
        <is>
          <t>Headroom (budget less marginal)</t>
        </is>
      </c>
      <c r="B29" s="55">
        <f>B28-B27</f>
        <v/>
      </c>
      <c r="C29" s="55">
        <f>C28-C27</f>
        <v/>
      </c>
      <c r="D29" s="55">
        <f>D28-D27</f>
        <v/>
      </c>
    </row>
    <row r="31" ht="46" customHeight="1">
      <c r="A31" s="17" t="inlineStr">
        <is>
          <t>The budget deliberately exceeds the marginal cost by a wide margin: it carries baseline capacity, staging and disaster-recovery environments, observability, and the reserved headroom an availability commitment to a payer requires. The point of this tab is not that infrastructure is cheap — it is that infrastructure is not what this business spends money on. People encoding payer criteria are (tab 3).</t>
        </is>
      </c>
    </row>
  </sheetData>
  <mergeCells count="1">
    <mergeCell ref="A31:E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4" customWidth="1" min="7" max="7"/>
  </cols>
  <sheetData>
    <row r="1">
      <c r="A1" s="1" t="inlineStr">
        <is>
          <t>Sensitivity — the assumptions that break the model</t>
        </is>
      </c>
    </row>
    <row r="2">
      <c r="A2" s="2" t="inlineStr">
        <is>
          <t>Each row re-computes 2028 revenue with one driver changed. The last row changes all four.</t>
        </is>
      </c>
    </row>
    <row r="4" ht="26" customHeight="1">
      <c r="A4" s="3" t="inlineStr">
        <is>
          <t>Scenario</t>
        </is>
      </c>
      <c r="B4" s="4" t="inlineStr">
        <is>
          <t>Provider groups</t>
        </is>
      </c>
      <c r="C4" s="4" t="inlineStr">
        <is>
          <t>Routed share</t>
        </is>
      </c>
      <c r="D4" s="4" t="inlineStr">
        <is>
          <t>Fee per auth</t>
        </is>
      </c>
      <c r="E4" s="4" t="inlineStr">
        <is>
          <t>Payers</t>
        </is>
      </c>
      <c r="F4" s="4" t="inlineStr">
        <is>
          <t>2028 revenue</t>
        </is>
      </c>
      <c r="G4" s="4" t="inlineStr">
        <is>
          <t>vs. base</t>
        </is>
      </c>
    </row>
    <row r="5">
      <c r="A5" s="56" t="inlineStr">
        <is>
          <t>Base case</t>
        </is>
      </c>
      <c r="B5" s="57" t="n">
        <v>1400</v>
      </c>
      <c r="C5" s="58" t="n">
        <v>0.5</v>
      </c>
      <c r="D5" s="59" t="n">
        <v>3</v>
      </c>
      <c r="E5" s="57" t="n">
        <v>160</v>
      </c>
      <c r="F5" s="60">
        <f>B5*('1 Drivers'!D8*'1 Drivers'!D9*52*C5)*D5+B5*'1 Drivers'!D15*12+E5*'1 Drivers'!D16</f>
        <v/>
      </c>
      <c r="G5" s="58">
        <f>F5/$F$5-1</f>
        <v/>
      </c>
    </row>
    <row r="6">
      <c r="A6" s="61" t="inlineStr">
        <is>
          <t>CMS-0057-F slips a year → payer count halves</t>
        </is>
      </c>
      <c r="B6" s="62" t="n">
        <v>1400</v>
      </c>
      <c r="C6" s="63" t="n">
        <v>0.5</v>
      </c>
      <c r="D6" s="64" t="n">
        <v>3</v>
      </c>
      <c r="E6" s="62" t="n">
        <v>80</v>
      </c>
      <c r="F6" s="65">
        <f>B6*('1 Drivers'!D8*'1 Drivers'!D9*52*C6)*D6+B6*'1 Drivers'!D15*12+E6*'1 Drivers'!D16</f>
        <v/>
      </c>
      <c r="G6" s="66">
        <f>F6/$F$5-1</f>
        <v/>
      </c>
    </row>
    <row r="7">
      <c r="A7" s="61" t="inlineStr">
        <is>
          <t>Routed share is 35%, not 50%</t>
        </is>
      </c>
      <c r="B7" s="62" t="n">
        <v>1400</v>
      </c>
      <c r="C7" s="63" t="n">
        <v>0.35</v>
      </c>
      <c r="D7" s="64" t="n">
        <v>3</v>
      </c>
      <c r="E7" s="62" t="n">
        <v>160</v>
      </c>
      <c r="F7" s="65">
        <f>B7*('1 Drivers'!D8*'1 Drivers'!D9*52*C7)*D7+B7*'1 Drivers'!D15*12+E7*'1 Drivers'!D16</f>
        <v/>
      </c>
      <c r="G7" s="66">
        <f>F7/$F$5-1</f>
        <v/>
      </c>
    </row>
    <row r="8">
      <c r="A8" s="61" t="inlineStr">
        <is>
          <t>Provider groups reach 900 average, not 1,400</t>
        </is>
      </c>
      <c r="B8" s="62" t="n">
        <v>900</v>
      </c>
      <c r="C8" s="63" t="n">
        <v>0.5</v>
      </c>
      <c r="D8" s="64" t="n">
        <v>3</v>
      </c>
      <c r="E8" s="62" t="n">
        <v>160</v>
      </c>
      <c r="F8" s="65">
        <f>B8*('1 Drivers'!D8*'1 Drivers'!D9*52*C8)*D8+B8*'1 Drivers'!D15*12+E8*'1 Drivers'!D16</f>
        <v/>
      </c>
      <c r="G8" s="66">
        <f>F8/$F$5-1</f>
        <v/>
      </c>
    </row>
    <row r="9">
      <c r="A9" s="61" t="inlineStr">
        <is>
          <t>Authorization fee compresses to $2.00</t>
        </is>
      </c>
      <c r="B9" s="62" t="n">
        <v>1400</v>
      </c>
      <c r="C9" s="63" t="n">
        <v>0.5</v>
      </c>
      <c r="D9" s="64" t="n">
        <v>2</v>
      </c>
      <c r="E9" s="62" t="n">
        <v>160</v>
      </c>
      <c r="F9" s="65">
        <f>B9*('1 Drivers'!D8*'1 Drivers'!D9*52*C9)*D9+B9*'1 Drivers'!D15*12+E9*'1 Drivers'!D16</f>
        <v/>
      </c>
      <c r="G9" s="66">
        <f>F9/$F$5-1</f>
        <v/>
      </c>
    </row>
    <row r="10">
      <c r="A10" s="67" t="inlineStr">
        <is>
          <t>All four together</t>
        </is>
      </c>
      <c r="B10" s="68" t="n">
        <v>900</v>
      </c>
      <c r="C10" s="69" t="n">
        <v>0.35</v>
      </c>
      <c r="D10" s="70" t="n">
        <v>2</v>
      </c>
      <c r="E10" s="68" t="n">
        <v>80</v>
      </c>
      <c r="F10" s="71">
        <f>B10*('1 Drivers'!D8*'1 Drivers'!D9*52*C10)*D10+B10*'1 Drivers'!D15*12+E10*'1 Drivers'!D16</f>
        <v/>
      </c>
      <c r="G10" s="72">
        <f>F10/$F$5-1</f>
        <v/>
      </c>
    </row>
    <row r="12" ht="46" customHeight="1">
      <c r="A12" s="17" t="inlineStr">
        <is>
          <t>Provider group count is the model's single greatest exposure — halving it costs more than halving the payer count and compressing price combined, because authorization fees are 72% of 2028 revenue. It is also the driver most within our control, which is why the ask in the report weights payer business development so heavily: the payer channel is what makes provider acquisition affordable at that scale.</t>
        </is>
      </c>
    </row>
  </sheetData>
  <mergeCells count="1"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2026-09-13T13:37:03Z</dcterms:created>
  <dcterms:modified xsi:type="dcterms:W3CDTF">2026-09-13T13:37:03Z</dcterms:modified>
</cp:coreProperties>
</file>